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321A53B-B122-42D7-9B86-1AC6D143B70A}" xr6:coauthVersionLast="47" xr6:coauthVersionMax="47" xr10:uidLastSave="{00000000-0000-0000-0000-000000000000}"/>
  <bookViews>
    <workbookView xWindow="-120" yWindow="-120" windowWidth="19440" windowHeight="11160" activeTab="3" xr2:uid="{00000000-000D-0000-FFFF-FFFF00000000}"/>
  </bookViews>
  <sheets>
    <sheet name="Sheet3" sheetId="3" r:id="rId1"/>
    <sheet name="Sheet4" sheetId="4" r:id="rId2"/>
    <sheet name="Sheet1" sheetId="1" r:id="rId3"/>
    <sheet name="dashboard" sheetId="2" r:id="rId4"/>
  </sheet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" i="1" l="1"/>
  <c r="D1" i="1"/>
</calcChain>
</file>

<file path=xl/sharedStrings.xml><?xml version="1.0" encoding="utf-8"?>
<sst xmlns="http://schemas.openxmlformats.org/spreadsheetml/2006/main" count="63" uniqueCount="33">
  <si>
    <t>Date</t>
  </si>
  <si>
    <t>Category</t>
  </si>
  <si>
    <t>Region</t>
  </si>
  <si>
    <t>Quantity</t>
  </si>
  <si>
    <t>Sales</t>
  </si>
  <si>
    <t>Product</t>
  </si>
  <si>
    <t>Rice 5kg</t>
  </si>
  <si>
    <t>Milk 1L</t>
  </si>
  <si>
    <t>Bread</t>
  </si>
  <si>
    <t>Chicken 1kg</t>
  </si>
  <si>
    <t>Apple 1Kg</t>
  </si>
  <si>
    <t>Detergent</t>
  </si>
  <si>
    <t>Eggs 12pk</t>
  </si>
  <si>
    <t>Soda 500ml</t>
  </si>
  <si>
    <t>Soap</t>
  </si>
  <si>
    <t>Meat</t>
  </si>
  <si>
    <t>Groceries</t>
  </si>
  <si>
    <t>Household</t>
  </si>
  <si>
    <t>Beverages</t>
  </si>
  <si>
    <t>Dairy</t>
  </si>
  <si>
    <t>Produce</t>
  </si>
  <si>
    <t>Bakery</t>
  </si>
  <si>
    <t>North</t>
  </si>
  <si>
    <t>South</t>
  </si>
  <si>
    <t>East</t>
  </si>
  <si>
    <t>West</t>
  </si>
  <si>
    <t>Total Sales</t>
  </si>
  <si>
    <t>Total Orders</t>
  </si>
  <si>
    <t>Average Sales</t>
  </si>
  <si>
    <t>y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</si>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</sst>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14" fontId="0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Sheet3!$A$4:$A$11</c:f>
              <c:strCache>
                <c:ptCount val="7"/>
                <c:pt idx="0">
                  <c:v>Bakery</c:v>
                </c:pt>
                <c:pt idx="1">
                  <c:v>Beverages</c:v>
                </c:pt>
                <c:pt idx="2">
                  <c:v>Dairy</c:v>
                </c:pt>
                <c:pt idx="3">
                  <c:v>Groceries</c:v>
                </c:pt>
                <c:pt idx="4">
                  <c:v>Household</c:v>
                </c:pt>
                <c:pt idx="5">
                  <c:v>Meat</c:v>
                </c:pt>
                <c:pt idx="6">
                  <c:v>Produce</c:v>
                </c:pt>
              </c:strCache>
            </c:strRef>
          </c:cat>
          <c:val>
            <c:numRef>
              <c:f>Sheet3!$B$4:$B$11</c:f>
              <c:numCache>
                <c:formatCode>General</c:formatCode>
                <c:ptCount val="7"/>
                <c:pt idx="0">
                  <c:v>375</c:v>
                </c:pt>
                <c:pt idx="1">
                  <c:v>760</c:v>
                </c:pt>
                <c:pt idx="2">
                  <c:v>1100</c:v>
                </c:pt>
                <c:pt idx="3">
                  <c:v>2640</c:v>
                </c:pt>
                <c:pt idx="4">
                  <c:v>1650</c:v>
                </c:pt>
                <c:pt idx="5">
                  <c:v>850</c:v>
                </c:pt>
                <c:pt idx="6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3-43BA-93D0-E1E7200AD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8383023"/>
        <c:axId val="1348383439"/>
      </c:barChart>
      <c:catAx>
        <c:axId val="134838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383439"/>
        <c:crosses val="autoZero"/>
        <c:auto val="1"/>
        <c:lblAlgn val="ctr"/>
        <c:lblOffset val="100"/>
        <c:noMultiLvlLbl val="0"/>
      </c:catAx>
      <c:valAx>
        <c:axId val="134838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38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975</c:v>
                </c:pt>
                <c:pt idx="1">
                  <c:v>2490</c:v>
                </c:pt>
                <c:pt idx="2">
                  <c:v>2500</c:v>
                </c:pt>
                <c:pt idx="3">
                  <c:v>1860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D9-4D0A-B4E5-99BA056F2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0071279"/>
        <c:axId val="1490084591"/>
      </c:barChart>
      <c:catAx>
        <c:axId val="149007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084591"/>
        <c:crosses val="autoZero"/>
        <c:auto val="1"/>
        <c:lblAlgn val="ctr"/>
        <c:lblOffset val="100"/>
        <c:noMultiLvlLbl val="0"/>
      </c:catAx>
      <c:valAx>
        <c:axId val="149008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07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Worksheet.xlsx]Sheet3!PivotTable2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Sheet3!$A$4:$A$11</c:f>
              <c:strCache>
                <c:ptCount val="7"/>
                <c:pt idx="0">
                  <c:v>Bakery</c:v>
                </c:pt>
                <c:pt idx="1">
                  <c:v>Beverages</c:v>
                </c:pt>
                <c:pt idx="2">
                  <c:v>Dairy</c:v>
                </c:pt>
                <c:pt idx="3">
                  <c:v>Groceries</c:v>
                </c:pt>
                <c:pt idx="4">
                  <c:v>Household</c:v>
                </c:pt>
                <c:pt idx="5">
                  <c:v>Meat</c:v>
                </c:pt>
                <c:pt idx="6">
                  <c:v>Produce</c:v>
                </c:pt>
              </c:strCache>
            </c:strRef>
          </c:cat>
          <c:val>
            <c:numRef>
              <c:f>Sheet3!$B$4:$B$11</c:f>
              <c:numCache>
                <c:formatCode>General</c:formatCode>
                <c:ptCount val="7"/>
                <c:pt idx="0">
                  <c:v>375</c:v>
                </c:pt>
                <c:pt idx="1">
                  <c:v>760</c:v>
                </c:pt>
                <c:pt idx="2">
                  <c:v>1100</c:v>
                </c:pt>
                <c:pt idx="3">
                  <c:v>2640</c:v>
                </c:pt>
                <c:pt idx="4">
                  <c:v>1650</c:v>
                </c:pt>
                <c:pt idx="5">
                  <c:v>850</c:v>
                </c:pt>
                <c:pt idx="6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CA-4E5A-A1C2-7B32D9C34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8383023"/>
        <c:axId val="1348383439"/>
      </c:barChart>
      <c:catAx>
        <c:axId val="134838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383439"/>
        <c:crosses val="autoZero"/>
        <c:auto val="1"/>
        <c:lblAlgn val="ctr"/>
        <c:lblOffset val="100"/>
        <c:noMultiLvlLbl val="0"/>
      </c:catAx>
      <c:valAx>
        <c:axId val="134838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38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Worksheet.xlsx]Sheet4!PivotTable3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975</c:v>
                </c:pt>
                <c:pt idx="1">
                  <c:v>2490</c:v>
                </c:pt>
                <c:pt idx="2">
                  <c:v>2500</c:v>
                </c:pt>
                <c:pt idx="3">
                  <c:v>1860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3-43F5-A7DC-F9461E5CF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0071279"/>
        <c:axId val="1490084591"/>
      </c:barChart>
      <c:catAx>
        <c:axId val="149007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084591"/>
        <c:crosses val="autoZero"/>
        <c:auto val="1"/>
        <c:lblAlgn val="ctr"/>
        <c:lblOffset val="100"/>
        <c:noMultiLvlLbl val="0"/>
      </c:catAx>
      <c:valAx>
        <c:axId val="149008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07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</xdr:row>
      <xdr:rowOff>14287</xdr:rowOff>
    </xdr:from>
    <xdr:to>
      <xdr:col>9</xdr:col>
      <xdr:colOff>533400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72DB9E-BA6C-468F-8889-0910BC962F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4</xdr:row>
      <xdr:rowOff>14287</xdr:rowOff>
    </xdr:from>
    <xdr:to>
      <xdr:col>9</xdr:col>
      <xdr:colOff>342900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3318F4-E9A4-4F2F-B9C9-B57333DA78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3</xdr:row>
      <xdr:rowOff>66675</xdr:rowOff>
    </xdr:from>
    <xdr:to>
      <xdr:col>7</xdr:col>
      <xdr:colOff>438150</xdr:colOff>
      <xdr:row>17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DA69BF-D591-4BC2-A9B0-059ED460AE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542925</xdr:colOff>
      <xdr:row>2</xdr:row>
      <xdr:rowOff>133350</xdr:rowOff>
    </xdr:from>
    <xdr:to>
      <xdr:col>15</xdr:col>
      <xdr:colOff>238125</xdr:colOff>
      <xdr:row>17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6CD88C-EC13-48D5-AC4D-8C3B3F0876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9.04999699074" createdVersion="7" refreshedVersion="7" minRefreshableVersion="3" recordCount="11" xr:uid="{1B2B6557-BACD-406F-AC61-56EB2FBFCF9A}">
  <cacheSource type="worksheet">
    <worksheetSource name="Table1"/>
  </cacheSource>
  <cacheFields count="6">
    <cacheField name="Date" numFmtId="14">
      <sharedItems containsSemiMixedTypes="0" containsNonDate="0" containsDate="1" containsString="0" minDate="2024-01-05T00:00:00" maxDate="2024-01-19T00:00:00"/>
    </cacheField>
    <cacheField name="Product" numFmtId="0">
      <sharedItems/>
    </cacheField>
    <cacheField name="Category" numFmtId="0">
      <sharedItems count="7">
        <s v="Groceries"/>
        <s v="Dairy"/>
        <s v="Bakery"/>
        <s v="Meat"/>
        <s v="Produce"/>
        <s v="Household"/>
        <s v="Beverages"/>
      </sharedItems>
    </cacheField>
    <cacheField name="Region" numFmtId="0">
      <sharedItems count="4">
        <s v="North"/>
        <s v="South"/>
        <s v="East"/>
        <s v="West"/>
      </sharedItems>
    </cacheField>
    <cacheField name="Quantity" numFmtId="0">
      <sharedItems containsSemiMixedTypes="0" containsString="0" containsNumber="1" containsInteger="1" minValue="5" maxValue="40"/>
    </cacheField>
    <cacheField name="Sales" numFmtId="0">
      <sharedItems containsSemiMixedTypes="0" containsString="0" containsNumber="1" containsInteger="1" minValue="200" maxValue="14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d v="2024-01-05T00:00:00"/>
    <s v="Rice 5kg"/>
    <x v="0"/>
    <x v="0"/>
    <n v="12"/>
    <n v="1440"/>
  </r>
  <r>
    <d v="2024-01-06T00:00:00"/>
    <s v="Milk 1L"/>
    <x v="1"/>
    <x v="1"/>
    <n v="20"/>
    <n v="500"/>
  </r>
  <r>
    <d v="2024-01-07T00:00:00"/>
    <s v="Bread"/>
    <x v="2"/>
    <x v="2"/>
    <n v="15"/>
    <n v="375"/>
  </r>
  <r>
    <d v="2024-01-11T00:00:00"/>
    <s v="Chicken 1kg"/>
    <x v="3"/>
    <x v="0"/>
    <n v="8"/>
    <n v="200"/>
  </r>
  <r>
    <d v="2024-01-12T00:00:00"/>
    <s v="Apple 1Kg"/>
    <x v="4"/>
    <x v="3"/>
    <n v="30"/>
    <n v="450"/>
  </r>
  <r>
    <d v="2024-01-13T00:00:00"/>
    <s v="Detergent"/>
    <x v="5"/>
    <x v="1"/>
    <n v="5"/>
    <n v="800"/>
  </r>
  <r>
    <d v="2024-01-14T00:00:00"/>
    <s v="Eggs 12pk"/>
    <x v="1"/>
    <x v="2"/>
    <n v="22"/>
    <n v="600"/>
  </r>
  <r>
    <d v="2024-01-15T00:00:00"/>
    <s v="Soda 500ml"/>
    <x v="6"/>
    <x v="3"/>
    <n v="40"/>
    <n v="760"/>
  </r>
  <r>
    <d v="2024-01-16T00:00:00"/>
    <s v="Soap"/>
    <x v="5"/>
    <x v="0"/>
    <n v="10"/>
    <n v="850"/>
  </r>
  <r>
    <d v="2024-01-17T00:00:00"/>
    <s v="Rice 5kg"/>
    <x v="0"/>
    <x v="1"/>
    <n v="10"/>
    <n v="1200"/>
  </r>
  <r>
    <d v="2024-01-18T00:00:00"/>
    <s v="Chicken 1kg"/>
    <x v="3"/>
    <x v="3"/>
    <n v="6"/>
    <n v="6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DE98ED-C88C-4B9D-BF24-A81AE9486C13}" name="PivotTable2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11" firstHeaderRow="1" firstDataRow="1" firstDataCol="1"/>
  <pivotFields count="6">
    <pivotField numFmtId="14" showAll="0"/>
    <pivotField showAll="0"/>
    <pivotField axis="axisRow" showAll="0">
      <items count="8">
        <item x="2"/>
        <item x="6"/>
        <item x="1"/>
        <item x="0"/>
        <item x="5"/>
        <item x="3"/>
        <item x="4"/>
        <item t="default"/>
      </items>
    </pivotField>
    <pivotField showAll="0"/>
    <pivotField showAll="0"/>
    <pivotField dataFiel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F34F49-EFBE-48A6-B39B-C3CF8FC5DB9E}" name="PivotTable3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B8" firstHeaderRow="1" firstDataRow="1" firstDataCol="1"/>
  <pivotFields count="6">
    <pivotField numFmtId="14"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7466A6-AA09-4572-9117-24EABD55357F}" name="Table1" displayName="Table1" ref="A2:F13" totalsRowShown="0" headerRowDxfId="0">
  <autoFilter ref="A2:F13" xr:uid="{767466A6-AA09-4572-9117-24EABD55357F}"/>
  <tableColumns count="6">
    <tableColumn id="1" xr3:uid="{3208F240-122A-4D12-9932-F2E52D4B76CA}" name="Date" dataDxfId="1"/>
    <tableColumn id="2" xr3:uid="{1EF65016-D89C-4383-A09C-43479A7A23DC}" name="Product"/>
    <tableColumn id="3" xr3:uid="{FA948ED4-7D15-4103-8451-3C4C6720FAB1}" name="Category"/>
    <tableColumn id="4" xr3:uid="{CC633ACD-A1DF-4001-94F9-D703A8483DD6}" name="Region"/>
    <tableColumn id="5" xr3:uid="{9457E8A9-3C98-49A4-8E89-F1809305744B}" name="Quantity"/>
    <tableColumn id="6" xr3:uid="{E6323C69-5B5D-4803-84C6-E42D0E3F1E59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12B11-75C1-4F27-82CD-38FCF922D1B9}">
  <dimension ref="A3:G13"/>
  <sheetViews>
    <sheetView workbookViewId="0">
      <selection activeCell="K14" sqref="K14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7" x14ac:dyDescent="0.25">
      <c r="A3" s="7" t="s">
        <v>30</v>
      </c>
      <c r="B3" t="s">
        <v>32</v>
      </c>
    </row>
    <row r="4" spans="1:7" x14ac:dyDescent="0.25">
      <c r="A4" s="8" t="s">
        <v>21</v>
      </c>
      <c r="B4" s="9">
        <v>375</v>
      </c>
    </row>
    <row r="5" spans="1:7" x14ac:dyDescent="0.25">
      <c r="A5" s="8" t="s">
        <v>18</v>
      </c>
      <c r="B5" s="9">
        <v>760</v>
      </c>
    </row>
    <row r="6" spans="1:7" x14ac:dyDescent="0.25">
      <c r="A6" s="8" t="s">
        <v>19</v>
      </c>
      <c r="B6" s="9">
        <v>1100</v>
      </c>
    </row>
    <row r="7" spans="1:7" x14ac:dyDescent="0.25">
      <c r="A7" s="8" t="s">
        <v>16</v>
      </c>
      <c r="B7" s="9">
        <v>2640</v>
      </c>
    </row>
    <row r="8" spans="1:7" x14ac:dyDescent="0.25">
      <c r="A8" s="8" t="s">
        <v>17</v>
      </c>
      <c r="B8" s="9">
        <v>1650</v>
      </c>
    </row>
    <row r="9" spans="1:7" x14ac:dyDescent="0.25">
      <c r="A9" s="8" t="s">
        <v>15</v>
      </c>
      <c r="B9" s="9">
        <v>850</v>
      </c>
    </row>
    <row r="10" spans="1:7" x14ac:dyDescent="0.25">
      <c r="A10" s="8" t="s">
        <v>20</v>
      </c>
      <c r="B10" s="9">
        <v>450</v>
      </c>
    </row>
    <row r="11" spans="1:7" x14ac:dyDescent="0.25">
      <c r="A11" s="8" t="s">
        <v>31</v>
      </c>
      <c r="B11" s="9">
        <v>7825</v>
      </c>
    </row>
    <row r="13" spans="1:7" x14ac:dyDescent="0.25">
      <c r="G13" t="s">
        <v>29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6C936-859A-4B12-BE8E-9C17E7F41D58}">
  <dimension ref="A3:B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7" t="s">
        <v>30</v>
      </c>
      <c r="B3" t="s">
        <v>32</v>
      </c>
    </row>
    <row r="4" spans="1:2" x14ac:dyDescent="0.25">
      <c r="A4" s="8" t="s">
        <v>24</v>
      </c>
      <c r="B4" s="9">
        <v>975</v>
      </c>
    </row>
    <row r="5" spans="1:2" x14ac:dyDescent="0.25">
      <c r="A5" s="8" t="s">
        <v>22</v>
      </c>
      <c r="B5" s="9">
        <v>2490</v>
      </c>
    </row>
    <row r="6" spans="1:2" x14ac:dyDescent="0.25">
      <c r="A6" s="8" t="s">
        <v>23</v>
      </c>
      <c r="B6" s="9">
        <v>2500</v>
      </c>
    </row>
    <row r="7" spans="1:2" x14ac:dyDescent="0.25">
      <c r="A7" s="8" t="s">
        <v>25</v>
      </c>
      <c r="B7" s="9">
        <v>1860</v>
      </c>
    </row>
    <row r="8" spans="1:2" x14ac:dyDescent="0.25">
      <c r="A8" s="8" t="s">
        <v>31</v>
      </c>
      <c r="B8" s="9">
        <v>7825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sqref="A1:F1"/>
    </sheetView>
  </sheetViews>
  <sheetFormatPr defaultRowHeight="15" x14ac:dyDescent="0.25"/>
  <cols>
    <col min="1" max="1" width="18.28515625" customWidth="1"/>
    <col min="2" max="2" width="15.28515625" customWidth="1"/>
    <col min="3" max="3" width="14.28515625" customWidth="1"/>
    <col min="4" max="4" width="13.28515625" customWidth="1"/>
    <col min="5" max="5" width="13.140625" customWidth="1"/>
  </cols>
  <sheetData>
    <row r="1" spans="1:6" x14ac:dyDescent="0.25">
      <c r="A1" s="4" t="s">
        <v>26</v>
      </c>
      <c r="B1" s="5">
        <v>7825</v>
      </c>
      <c r="C1" s="4" t="s">
        <v>27</v>
      </c>
      <c r="D1" s="6">
        <f>COUNTA(A3:A13)</f>
        <v>11</v>
      </c>
      <c r="E1" s="4" t="s">
        <v>28</v>
      </c>
      <c r="F1" s="6">
        <f>AVERAGE(F3:F13)</f>
        <v>711.36363636363637</v>
      </c>
    </row>
    <row r="2" spans="1:6" x14ac:dyDescent="0.25">
      <c r="A2" s="1" t="s">
        <v>0</v>
      </c>
      <c r="B2" s="1" t="s">
        <v>5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25">
      <c r="A3" s="2">
        <v>45296</v>
      </c>
      <c r="B3" t="s">
        <v>6</v>
      </c>
      <c r="C3" t="s">
        <v>16</v>
      </c>
      <c r="D3" t="s">
        <v>22</v>
      </c>
      <c r="E3">
        <v>12</v>
      </c>
      <c r="F3">
        <v>1440</v>
      </c>
    </row>
    <row r="4" spans="1:6" x14ac:dyDescent="0.25">
      <c r="A4" s="2">
        <v>45297</v>
      </c>
      <c r="B4" t="s">
        <v>7</v>
      </c>
      <c r="C4" t="s">
        <v>19</v>
      </c>
      <c r="D4" t="s">
        <v>23</v>
      </c>
      <c r="E4">
        <v>20</v>
      </c>
      <c r="F4">
        <v>500</v>
      </c>
    </row>
    <row r="5" spans="1:6" x14ac:dyDescent="0.25">
      <c r="A5" s="2">
        <v>45298</v>
      </c>
      <c r="B5" t="s">
        <v>8</v>
      </c>
      <c r="C5" t="s">
        <v>21</v>
      </c>
      <c r="D5" t="s">
        <v>24</v>
      </c>
      <c r="E5">
        <v>15</v>
      </c>
      <c r="F5">
        <v>375</v>
      </c>
    </row>
    <row r="6" spans="1:6" x14ac:dyDescent="0.25">
      <c r="A6" s="2">
        <v>45302</v>
      </c>
      <c r="B6" t="s">
        <v>9</v>
      </c>
      <c r="C6" t="s">
        <v>15</v>
      </c>
      <c r="D6" t="s">
        <v>22</v>
      </c>
      <c r="E6">
        <v>8</v>
      </c>
      <c r="F6">
        <v>200</v>
      </c>
    </row>
    <row r="7" spans="1:6" x14ac:dyDescent="0.25">
      <c r="A7" s="2">
        <v>45303</v>
      </c>
      <c r="B7" t="s">
        <v>10</v>
      </c>
      <c r="C7" t="s">
        <v>20</v>
      </c>
      <c r="D7" t="s">
        <v>25</v>
      </c>
      <c r="E7">
        <v>30</v>
      </c>
      <c r="F7">
        <v>450</v>
      </c>
    </row>
    <row r="8" spans="1:6" x14ac:dyDescent="0.25">
      <c r="A8" s="2">
        <v>45304</v>
      </c>
      <c r="B8" t="s">
        <v>11</v>
      </c>
      <c r="C8" t="s">
        <v>17</v>
      </c>
      <c r="D8" t="s">
        <v>23</v>
      </c>
      <c r="E8">
        <v>5</v>
      </c>
      <c r="F8">
        <v>800</v>
      </c>
    </row>
    <row r="9" spans="1:6" x14ac:dyDescent="0.25">
      <c r="A9" s="3">
        <v>45305</v>
      </c>
      <c r="B9" t="s">
        <v>12</v>
      </c>
      <c r="C9" t="s">
        <v>19</v>
      </c>
      <c r="D9" t="s">
        <v>24</v>
      </c>
      <c r="E9">
        <v>22</v>
      </c>
      <c r="F9">
        <v>600</v>
      </c>
    </row>
    <row r="10" spans="1:6" x14ac:dyDescent="0.25">
      <c r="A10" s="3">
        <v>45306</v>
      </c>
      <c r="B10" t="s">
        <v>13</v>
      </c>
      <c r="C10" t="s">
        <v>18</v>
      </c>
      <c r="D10" t="s">
        <v>25</v>
      </c>
      <c r="E10">
        <v>40</v>
      </c>
      <c r="F10">
        <v>760</v>
      </c>
    </row>
    <row r="11" spans="1:6" x14ac:dyDescent="0.25">
      <c r="A11" s="3">
        <v>45307</v>
      </c>
      <c r="B11" t="s">
        <v>14</v>
      </c>
      <c r="C11" t="s">
        <v>17</v>
      </c>
      <c r="D11" t="s">
        <v>22</v>
      </c>
      <c r="E11">
        <v>10</v>
      </c>
      <c r="F11">
        <v>850</v>
      </c>
    </row>
    <row r="12" spans="1:6" x14ac:dyDescent="0.25">
      <c r="A12" s="2">
        <v>45308</v>
      </c>
      <c r="B12" t="s">
        <v>6</v>
      </c>
      <c r="C12" t="s">
        <v>16</v>
      </c>
      <c r="D12" t="s">
        <v>23</v>
      </c>
      <c r="E12">
        <v>10</v>
      </c>
      <c r="F12">
        <v>1200</v>
      </c>
    </row>
    <row r="13" spans="1:6" x14ac:dyDescent="0.25">
      <c r="A13" s="2">
        <v>45309</v>
      </c>
      <c r="B13" t="s">
        <v>9</v>
      </c>
      <c r="C13" t="s">
        <v>15</v>
      </c>
      <c r="D13" t="s">
        <v>25</v>
      </c>
      <c r="E13">
        <v>6</v>
      </c>
      <c r="F13">
        <v>650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6387A-07D1-48E0-BA0F-69C5B8CFE3BD}">
  <dimension ref="A1:F1"/>
  <sheetViews>
    <sheetView tabSelected="1" workbookViewId="0">
      <selection activeCell="F1" sqref="F1"/>
    </sheetView>
  </sheetViews>
  <sheetFormatPr defaultRowHeight="15" x14ac:dyDescent="0.25"/>
  <cols>
    <col min="1" max="1" width="14.28515625" customWidth="1"/>
    <col min="3" max="3" width="14.85546875" customWidth="1"/>
    <col min="5" max="5" width="17.140625" customWidth="1"/>
  </cols>
  <sheetData>
    <row r="1" spans="1:6" x14ac:dyDescent="0.25">
      <c r="A1" s="4" t="s">
        <v>26</v>
      </c>
      <c r="B1" s="5">
        <v>7825</v>
      </c>
      <c r="C1" s="4" t="s">
        <v>27</v>
      </c>
      <c r="D1" s="6">
        <v>11</v>
      </c>
      <c r="E1" s="4" t="s">
        <v>28</v>
      </c>
      <c r="F1" s="6">
        <v>711.36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Sheet4</vt:lpstr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2026-09-24T08:54:25Z</dcterms:modified>
</cp:coreProperties>
</file>